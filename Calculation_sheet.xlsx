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khee\Documents\Floating wind challenge\Git\FWC2026\"/>
    </mc:Choice>
  </mc:AlternateContent>
  <xr:revisionPtr revIDLastSave="0" documentId="13_ncr:1_{98FC12E0-8DD1-4541-8B49-DC98AEA50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I2" i="1"/>
  <c r="I1" i="1"/>
  <c r="B6" i="1"/>
  <c r="G5" i="1"/>
  <c r="G4" i="1"/>
  <c r="B4" i="1"/>
  <c r="D2" i="1"/>
  <c r="B7" i="1" l="1"/>
  <c r="B5" i="1"/>
  <c r="G3" i="1" s="1"/>
</calcChain>
</file>

<file path=xl/sharedStrings.xml><?xml version="1.0" encoding="utf-8"?>
<sst xmlns="http://schemas.openxmlformats.org/spreadsheetml/2006/main" count="27" uniqueCount="23">
  <si>
    <t xml:space="preserve">Thrust </t>
  </si>
  <si>
    <t>N</t>
  </si>
  <si>
    <t>Tilt (max)</t>
  </si>
  <si>
    <t>deg</t>
  </si>
  <si>
    <t>rad</t>
  </si>
  <si>
    <t>Distance (HH)</t>
  </si>
  <si>
    <t>m</t>
  </si>
  <si>
    <t>Thrust moment</t>
  </si>
  <si>
    <t>Nm</t>
  </si>
  <si>
    <t>C55</t>
  </si>
  <si>
    <t>Radius of floater cylinder</t>
  </si>
  <si>
    <t>Length of pontoon</t>
  </si>
  <si>
    <t>rho</t>
  </si>
  <si>
    <t>g</t>
  </si>
  <si>
    <t>Term 1</t>
  </si>
  <si>
    <t xml:space="preserve"> </t>
  </si>
  <si>
    <t>Term 2</t>
  </si>
  <si>
    <t>Term 3</t>
  </si>
  <si>
    <t>Draft</t>
  </si>
  <si>
    <t>Total mass</t>
  </si>
  <si>
    <t>Radius of pontoon</t>
  </si>
  <si>
    <t>Area of floater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</si>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</sst>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13" sqref="D13"/>
    </sheetView>
  </sheetViews>
  <sheetFormatPr defaultRowHeight="14.4" x14ac:dyDescent="0.3"/>
  <cols>
    <col min="1" max="1" width="21.6640625" bestFit="1" customWidth="1"/>
    <col min="2" max="2" width="12" bestFit="1" customWidth="1"/>
    <col min="3" max="3" width="3.88671875" bestFit="1" customWidth="1"/>
    <col min="4" max="4" width="12" bestFit="1" customWidth="1"/>
    <col min="5" max="5" width="3.6640625" bestFit="1" customWidth="1"/>
    <col min="7" max="7" width="12" bestFit="1" customWidth="1"/>
    <col min="8" max="8" width="16.109375" bestFit="1" customWidth="1"/>
  </cols>
  <sheetData>
    <row r="1" spans="1:9" x14ac:dyDescent="0.3">
      <c r="A1" t="s">
        <v>0</v>
      </c>
      <c r="B1">
        <v>80</v>
      </c>
      <c r="C1" t="s">
        <v>1</v>
      </c>
      <c r="F1" t="s">
        <v>12</v>
      </c>
      <c r="G1">
        <v>1025</v>
      </c>
      <c r="H1" t="s">
        <v>20</v>
      </c>
      <c r="I1">
        <f>B6/2</f>
        <v>0.05</v>
      </c>
    </row>
    <row r="2" spans="1:9" x14ac:dyDescent="0.3">
      <c r="A2" t="s">
        <v>2</v>
      </c>
      <c r="B2">
        <v>5</v>
      </c>
      <c r="C2" t="s">
        <v>3</v>
      </c>
      <c r="D2">
        <f>RADIANS(B2)</f>
        <v>8.7266462599716474E-2</v>
      </c>
      <c r="E2" t="s">
        <v>4</v>
      </c>
      <c r="F2" t="s">
        <v>13</v>
      </c>
      <c r="G2">
        <v>9.81</v>
      </c>
      <c r="H2" t="s">
        <v>21</v>
      </c>
      <c r="I2">
        <f>PI()*(B6^2)</f>
        <v>3.1415926535897934E-2</v>
      </c>
    </row>
    <row r="3" spans="1:9" x14ac:dyDescent="0.3">
      <c r="A3" t="s">
        <v>5</v>
      </c>
      <c r="B3">
        <v>1.2</v>
      </c>
      <c r="C3" t="s">
        <v>6</v>
      </c>
      <c r="F3" t="s">
        <v>14</v>
      </c>
      <c r="G3">
        <f>B5/(G1*G2)</f>
        <v>0.10940344264450717</v>
      </c>
    </row>
    <row r="4" spans="1:9" x14ac:dyDescent="0.3">
      <c r="A4" t="s">
        <v>7</v>
      </c>
      <c r="B4">
        <f>B1*B3</f>
        <v>96</v>
      </c>
      <c r="C4" t="s">
        <v>8</v>
      </c>
      <c r="E4" t="s">
        <v>15</v>
      </c>
      <c r="F4" t="s">
        <v>16</v>
      </c>
      <c r="G4">
        <f>PI()*(B6^4)/4</f>
        <v>7.8539816339744868E-5</v>
      </c>
    </row>
    <row r="5" spans="1:9" x14ac:dyDescent="0.3">
      <c r="A5" t="s">
        <v>9</v>
      </c>
      <c r="B5">
        <f>B4/D2</f>
        <v>1100.0789666511807</v>
      </c>
      <c r="C5" t="s">
        <v>8</v>
      </c>
      <c r="F5" t="s">
        <v>17</v>
      </c>
      <c r="G5">
        <f>3*PI()*(B6^2)/4</f>
        <v>2.3561944901923454E-2</v>
      </c>
    </row>
    <row r="6" spans="1:9" x14ac:dyDescent="0.3">
      <c r="A6" t="s">
        <v>10</v>
      </c>
      <c r="B6">
        <f>0.2/2</f>
        <v>0.1</v>
      </c>
      <c r="C6" t="s">
        <v>6</v>
      </c>
    </row>
    <row r="7" spans="1:9" x14ac:dyDescent="0.3">
      <c r="A7" t="s">
        <v>11</v>
      </c>
      <c r="B7">
        <f>SQRT((G3-G4)/G5)</f>
        <v>2.1540410821302962</v>
      </c>
      <c r="C7" t="s">
        <v>6</v>
      </c>
    </row>
    <row r="9" spans="1:9" x14ac:dyDescent="0.3">
      <c r="A9" t="s">
        <v>18</v>
      </c>
      <c r="B9">
        <v>0.4</v>
      </c>
      <c r="C9" t="s">
        <v>6</v>
      </c>
    </row>
    <row r="10" spans="1:9" x14ac:dyDescent="0.3">
      <c r="A10" t="s">
        <v>19</v>
      </c>
      <c r="B10">
        <f>G1*((I2*B9)+(2*I2*B9)+((B7-(2*B6))*PI()*(I1^2)))</f>
        <v>54.372267479514512</v>
      </c>
      <c r="C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Akheel M</dc:creator>
  <cp:lastModifiedBy>Mohamed Akheel M</cp:lastModifiedBy>
  <dcterms:created xsi:type="dcterms:W3CDTF">2015-06-05T18:17:20Z</dcterms:created>
  <dcterms:modified xsi:type="dcterms:W3CDTF">2026-03-23T15:36:23Z</dcterms:modified>
</cp:coreProperties>
</file>